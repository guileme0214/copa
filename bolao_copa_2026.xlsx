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se de Grupos" sheetId="1" state="visible" r:id="rId1"/>
  </sheets>
  <definedNames>
    <definedName name="_xlnm._FilterDatabase" localSheetId="0" hidden="1">'Fase de Grupos'!$A$2:$J$2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EAF1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4" customWidth="1" min="3" max="3"/>
    <col width="10" customWidth="1" min="4" max="4"/>
    <col width="14" customWidth="1" min="5" max="5"/>
    <col width="12" customWidth="1" min="6" max="6"/>
    <col width="12" customWidth="1" min="7" max="7"/>
    <col width="14" customWidth="1" min="8" max="8"/>
    <col width="10" customWidth="1" min="9" max="9"/>
    <col width="24" customWidth="1" min="10" max="10"/>
  </cols>
  <sheetData>
    <row r="1" ht="26" customHeight="1">
      <c r="A1" s="1" t="inlineStr">
        <is>
          <t>BOLÃO COPA DO MUNDO 2026 — Fase de Grupos</t>
        </is>
      </c>
    </row>
    <row r="2" ht="30" customHeight="1">
      <c r="A2" s="2" t="inlineStr">
        <is>
          <t>Data</t>
        </is>
      </c>
      <c r="B2" s="2" t="inlineStr">
        <is>
          <t>Grupo</t>
        </is>
      </c>
      <c r="C2" s="2" t="inlineStr">
        <is>
          <t>Time 1</t>
        </is>
      </c>
      <c r="D2" s="2" t="inlineStr">
        <is>
          <t>Bandeira</t>
        </is>
      </c>
      <c r="E2" s="2" t="inlineStr">
        <is>
          <t>Placar Real T1</t>
        </is>
      </c>
      <c r="F2" s="2" t="inlineStr">
        <is>
          <t>Palpite T1</t>
        </is>
      </c>
      <c r="G2" s="2" t="inlineStr">
        <is>
          <t>Palpite T2</t>
        </is>
      </c>
      <c r="H2" s="2" t="inlineStr">
        <is>
          <t>Placar Real T2</t>
        </is>
      </c>
      <c r="I2" s="2" t="inlineStr">
        <is>
          <t>Bandeira</t>
        </is>
      </c>
      <c r="J2" s="2" t="inlineStr">
        <is>
          <t>Time 2</t>
        </is>
      </c>
    </row>
    <row r="3" ht="30" customHeight="1">
      <c r="A3" s="3" t="inlineStr">
        <is>
          <t>11/06/2026</t>
        </is>
      </c>
      <c r="B3" s="4" t="inlineStr">
        <is>
          <t>A</t>
        </is>
      </c>
      <c r="C3" s="3" t="inlineStr">
        <is>
          <t>México</t>
        </is>
      </c>
      <c r="D3" s="4">
        <f>IMAGE("https://flagcdn.com/w80/mx.png")</f>
        <v/>
      </c>
      <c r="E3" s="4" t="inlineStr"/>
      <c r="F3" s="4" t="inlineStr"/>
      <c r="G3" s="4" t="inlineStr"/>
      <c r="H3" s="4" t="inlineStr"/>
      <c r="I3" s="4">
        <f>IMAGE("https://flagcdn.com/w80/za.png")</f>
        <v/>
      </c>
      <c r="J3" s="3" t="inlineStr">
        <is>
          <t>África do Sul</t>
        </is>
      </c>
    </row>
    <row r="4" ht="30" customHeight="1">
      <c r="A4" s="3" t="inlineStr">
        <is>
          <t>11/06/2026</t>
        </is>
      </c>
      <c r="B4" s="4" t="inlineStr">
        <is>
          <t>A</t>
        </is>
      </c>
      <c r="C4" s="3" t="inlineStr">
        <is>
          <t>Coreia do Sul</t>
        </is>
      </c>
      <c r="D4" s="4">
        <f>IMAGE("https://flagcdn.com/w80/kr.png")</f>
        <v/>
      </c>
      <c r="E4" s="4" t="inlineStr"/>
      <c r="F4" s="4" t="inlineStr"/>
      <c r="G4" s="4" t="inlineStr"/>
      <c r="H4" s="4" t="inlineStr"/>
      <c r="I4" s="4">
        <f>IMAGE("https://flagcdn.com/w80/cz.png")</f>
        <v/>
      </c>
      <c r="J4" s="3" t="inlineStr">
        <is>
          <t>Rep. Tcheca</t>
        </is>
      </c>
    </row>
    <row r="5" ht="30" customHeight="1">
      <c r="A5" s="5" t="inlineStr">
        <is>
          <t>12/06/2026</t>
        </is>
      </c>
      <c r="B5" s="6" t="inlineStr">
        <is>
          <t>B</t>
        </is>
      </c>
      <c r="C5" s="5" t="inlineStr">
        <is>
          <t>Canadá</t>
        </is>
      </c>
      <c r="D5" s="6">
        <f>IMAGE("https://flagcdn.com/w80/ca.png")</f>
        <v/>
      </c>
      <c r="E5" s="6" t="inlineStr"/>
      <c r="F5" s="6" t="inlineStr"/>
      <c r="G5" s="6" t="inlineStr"/>
      <c r="H5" s="6" t="inlineStr"/>
      <c r="I5" s="6">
        <f>IMAGE("https://flagcdn.com/w80/ba.png")</f>
        <v/>
      </c>
      <c r="J5" s="5" t="inlineStr">
        <is>
          <t>Bósnia e Herzegovina</t>
        </is>
      </c>
    </row>
    <row r="6" ht="30" customHeight="1">
      <c r="A6" s="5" t="inlineStr">
        <is>
          <t>12/06/2026</t>
        </is>
      </c>
      <c r="B6" s="6" t="inlineStr">
        <is>
          <t>D</t>
        </is>
      </c>
      <c r="C6" s="5" t="inlineStr">
        <is>
          <t>Estados Unidos</t>
        </is>
      </c>
      <c r="D6" s="6">
        <f>IMAGE("https://flagcdn.com/w80/us.png")</f>
        <v/>
      </c>
      <c r="E6" s="6" t="inlineStr"/>
      <c r="F6" s="6" t="inlineStr"/>
      <c r="G6" s="6" t="inlineStr"/>
      <c r="H6" s="6" t="inlineStr"/>
      <c r="I6" s="6">
        <f>IMAGE("https://flagcdn.com/w80/py.png")</f>
        <v/>
      </c>
      <c r="J6" s="5" t="inlineStr">
        <is>
          <t>Paraguai</t>
        </is>
      </c>
    </row>
    <row r="7" ht="30" customHeight="1">
      <c r="A7" s="3" t="inlineStr">
        <is>
          <t>13/06/2026</t>
        </is>
      </c>
      <c r="B7" s="4" t="inlineStr">
        <is>
          <t>B</t>
        </is>
      </c>
      <c r="C7" s="3" t="inlineStr">
        <is>
          <t>Catar</t>
        </is>
      </c>
      <c r="D7" s="4">
        <f>IMAGE("https://flagcdn.com/w80/qa.png")</f>
        <v/>
      </c>
      <c r="E7" s="4" t="inlineStr"/>
      <c r="F7" s="4" t="inlineStr"/>
      <c r="G7" s="4" t="inlineStr"/>
      <c r="H7" s="4" t="inlineStr"/>
      <c r="I7" s="4">
        <f>IMAGE("https://flagcdn.com/w80/ch.png")</f>
        <v/>
      </c>
      <c r="J7" s="3" t="inlineStr">
        <is>
          <t>Suíça</t>
        </is>
      </c>
    </row>
    <row r="8" ht="30" customHeight="1">
      <c r="A8" s="3" t="inlineStr">
        <is>
          <t>13/06/2026</t>
        </is>
      </c>
      <c r="B8" s="4" t="inlineStr">
        <is>
          <t>C</t>
        </is>
      </c>
      <c r="C8" s="3" t="inlineStr">
        <is>
          <t>Brasil</t>
        </is>
      </c>
      <c r="D8" s="4">
        <f>IMAGE("https://flagcdn.com/w80/br.png")</f>
        <v/>
      </c>
      <c r="E8" s="4" t="inlineStr"/>
      <c r="F8" s="4" t="inlineStr"/>
      <c r="G8" s="4" t="inlineStr"/>
      <c r="H8" s="4" t="inlineStr"/>
      <c r="I8" s="4">
        <f>IMAGE("https://flagcdn.com/w80/ma.png")</f>
        <v/>
      </c>
      <c r="J8" s="3" t="inlineStr">
        <is>
          <t>Marrocos</t>
        </is>
      </c>
    </row>
    <row r="9" ht="30" customHeight="1">
      <c r="A9" s="3" t="inlineStr">
        <is>
          <t>13/06/2026</t>
        </is>
      </c>
      <c r="B9" s="4" t="inlineStr">
        <is>
          <t>C</t>
        </is>
      </c>
      <c r="C9" s="3" t="inlineStr">
        <is>
          <t>Haiti</t>
        </is>
      </c>
      <c r="D9" s="4">
        <f>IMAGE("https://flagcdn.com/w80/ht.png")</f>
        <v/>
      </c>
      <c r="E9" s="4" t="inlineStr"/>
      <c r="F9" s="4" t="inlineStr"/>
      <c r="G9" s="4" t="inlineStr"/>
      <c r="H9" s="4" t="inlineStr"/>
      <c r="I9" s="4">
        <f>IMAGE("https://flagcdn.com/w80/gb-sct.png")</f>
        <v/>
      </c>
      <c r="J9" s="3" t="inlineStr">
        <is>
          <t>Escócia</t>
        </is>
      </c>
    </row>
    <row r="10" ht="30" customHeight="1">
      <c r="A10" s="3" t="inlineStr">
        <is>
          <t>13/06/2026</t>
        </is>
      </c>
      <c r="B10" s="4" t="inlineStr">
        <is>
          <t>D</t>
        </is>
      </c>
      <c r="C10" s="3" t="inlineStr">
        <is>
          <t>Austrália</t>
        </is>
      </c>
      <c r="D10" s="4">
        <f>IMAGE("https://flagcdn.com/w80/au.png")</f>
        <v/>
      </c>
      <c r="E10" s="4" t="inlineStr"/>
      <c r="F10" s="4" t="inlineStr"/>
      <c r="G10" s="4" t="inlineStr"/>
      <c r="H10" s="4" t="inlineStr"/>
      <c r="I10" s="4">
        <f>IMAGE("https://flagcdn.com/w80/tr.png")</f>
        <v/>
      </c>
      <c r="J10" s="3" t="inlineStr">
        <is>
          <t>Turquia</t>
        </is>
      </c>
    </row>
    <row r="11" ht="30" customHeight="1">
      <c r="A11" s="5" t="inlineStr">
        <is>
          <t>14/06/2026</t>
        </is>
      </c>
      <c r="B11" s="6" t="inlineStr">
        <is>
          <t>E</t>
        </is>
      </c>
      <c r="C11" s="5" t="inlineStr">
        <is>
          <t>Alemanha</t>
        </is>
      </c>
      <c r="D11" s="6">
        <f>IMAGE("https://flagcdn.com/w80/de.png")</f>
        <v/>
      </c>
      <c r="E11" s="6" t="inlineStr"/>
      <c r="F11" s="6" t="inlineStr"/>
      <c r="G11" s="6" t="inlineStr"/>
      <c r="H11" s="6" t="inlineStr"/>
      <c r="I11" s="6">
        <f>IMAGE("https://flagcdn.com/w80/cw.png")</f>
        <v/>
      </c>
      <c r="J11" s="5" t="inlineStr">
        <is>
          <t>Curaçao</t>
        </is>
      </c>
    </row>
    <row r="12" ht="30" customHeight="1">
      <c r="A12" s="5" t="inlineStr">
        <is>
          <t>14/06/2026</t>
        </is>
      </c>
      <c r="B12" s="6" t="inlineStr">
        <is>
          <t>F</t>
        </is>
      </c>
      <c r="C12" s="5" t="inlineStr">
        <is>
          <t>Países Baixos</t>
        </is>
      </c>
      <c r="D12" s="6">
        <f>IMAGE("https://flagcdn.com/w80/nl.png")</f>
        <v/>
      </c>
      <c r="E12" s="6" t="inlineStr"/>
      <c r="F12" s="6" t="inlineStr"/>
      <c r="G12" s="6" t="inlineStr"/>
      <c r="H12" s="6" t="inlineStr"/>
      <c r="I12" s="6">
        <f>IMAGE("https://flagcdn.com/w80/jp.png")</f>
        <v/>
      </c>
      <c r="J12" s="5" t="inlineStr">
        <is>
          <t>Japão</t>
        </is>
      </c>
    </row>
    <row r="13" ht="30" customHeight="1">
      <c r="A13" s="5" t="inlineStr">
        <is>
          <t>14/06/2026</t>
        </is>
      </c>
      <c r="B13" s="6" t="inlineStr">
        <is>
          <t>E</t>
        </is>
      </c>
      <c r="C13" s="5" t="inlineStr">
        <is>
          <t>Costa do Marfim</t>
        </is>
      </c>
      <c r="D13" s="6">
        <f>IMAGE("https://flagcdn.com/w80/ci.png")</f>
        <v/>
      </c>
      <c r="E13" s="6" t="inlineStr"/>
      <c r="F13" s="6" t="inlineStr"/>
      <c r="G13" s="6" t="inlineStr"/>
      <c r="H13" s="6" t="inlineStr"/>
      <c r="I13" s="6">
        <f>IMAGE("https://flagcdn.com/w80/ec.png")</f>
        <v/>
      </c>
      <c r="J13" s="5" t="inlineStr">
        <is>
          <t>Equador</t>
        </is>
      </c>
    </row>
    <row r="14" ht="30" customHeight="1">
      <c r="A14" s="5" t="inlineStr">
        <is>
          <t>14/06/2026</t>
        </is>
      </c>
      <c r="B14" s="6" t="inlineStr">
        <is>
          <t>F</t>
        </is>
      </c>
      <c r="C14" s="5" t="inlineStr">
        <is>
          <t>Suécia</t>
        </is>
      </c>
      <c r="D14" s="6">
        <f>IMAGE("https://flagcdn.com/w80/se.png")</f>
        <v/>
      </c>
      <c r="E14" s="6" t="inlineStr"/>
      <c r="F14" s="6" t="inlineStr"/>
      <c r="G14" s="6" t="inlineStr"/>
      <c r="H14" s="6" t="inlineStr"/>
      <c r="I14" s="6">
        <f>IMAGE("https://flagcdn.com/w80/tn.png")</f>
        <v/>
      </c>
      <c r="J14" s="5" t="inlineStr">
        <is>
          <t>Tunísia</t>
        </is>
      </c>
    </row>
    <row r="15" ht="30" customHeight="1">
      <c r="A15" s="3" t="inlineStr">
        <is>
          <t>15/06/2026</t>
        </is>
      </c>
      <c r="B15" s="4" t="inlineStr">
        <is>
          <t>H</t>
        </is>
      </c>
      <c r="C15" s="3" t="inlineStr">
        <is>
          <t>Espanha</t>
        </is>
      </c>
      <c r="D15" s="4">
        <f>IMAGE("https://flagcdn.com/w80/es.png")</f>
        <v/>
      </c>
      <c r="E15" s="4" t="inlineStr"/>
      <c r="F15" s="4" t="inlineStr"/>
      <c r="G15" s="4" t="inlineStr"/>
      <c r="H15" s="4" t="inlineStr"/>
      <c r="I15" s="4">
        <f>IMAGE("https://flagcdn.com/w80/cv.png")</f>
        <v/>
      </c>
      <c r="J15" s="3" t="inlineStr">
        <is>
          <t>Cabo Verde</t>
        </is>
      </c>
    </row>
    <row r="16" ht="30" customHeight="1">
      <c r="A16" s="3" t="inlineStr">
        <is>
          <t>15/06/2026</t>
        </is>
      </c>
      <c r="B16" s="4" t="inlineStr">
        <is>
          <t>G</t>
        </is>
      </c>
      <c r="C16" s="3" t="inlineStr">
        <is>
          <t>Bélgica</t>
        </is>
      </c>
      <c r="D16" s="4">
        <f>IMAGE("https://flagcdn.com/w80/be.png")</f>
        <v/>
      </c>
      <c r="E16" s="4" t="inlineStr"/>
      <c r="F16" s="4" t="inlineStr"/>
      <c r="G16" s="4" t="inlineStr"/>
      <c r="H16" s="4" t="inlineStr"/>
      <c r="I16" s="4">
        <f>IMAGE("https://flagcdn.com/w80/eg.png")</f>
        <v/>
      </c>
      <c r="J16" s="3" t="inlineStr">
        <is>
          <t>Egito</t>
        </is>
      </c>
    </row>
    <row r="17" ht="30" customHeight="1">
      <c r="A17" s="3" t="inlineStr">
        <is>
          <t>15/06/2026</t>
        </is>
      </c>
      <c r="B17" s="4" t="inlineStr">
        <is>
          <t>H</t>
        </is>
      </c>
      <c r="C17" s="3" t="inlineStr">
        <is>
          <t>Arábia Saudita</t>
        </is>
      </c>
      <c r="D17" s="4">
        <f>IMAGE("https://flagcdn.com/w80/sa.png")</f>
        <v/>
      </c>
      <c r="E17" s="4" t="inlineStr"/>
      <c r="F17" s="4" t="inlineStr"/>
      <c r="G17" s="4" t="inlineStr"/>
      <c r="H17" s="4" t="inlineStr"/>
      <c r="I17" s="4">
        <f>IMAGE("https://flagcdn.com/w80/uy.png")</f>
        <v/>
      </c>
      <c r="J17" s="3" t="inlineStr">
        <is>
          <t>Uruguai</t>
        </is>
      </c>
    </row>
    <row r="18" ht="30" customHeight="1">
      <c r="A18" s="3" t="inlineStr">
        <is>
          <t>15/06/2026</t>
        </is>
      </c>
      <c r="B18" s="4" t="inlineStr">
        <is>
          <t>G</t>
        </is>
      </c>
      <c r="C18" s="3" t="inlineStr">
        <is>
          <t>Irã</t>
        </is>
      </c>
      <c r="D18" s="4">
        <f>IMAGE("https://flagcdn.com/w80/ir.png")</f>
        <v/>
      </c>
      <c r="E18" s="4" t="inlineStr"/>
      <c r="F18" s="4" t="inlineStr"/>
      <c r="G18" s="4" t="inlineStr"/>
      <c r="H18" s="4" t="inlineStr"/>
      <c r="I18" s="4">
        <f>IMAGE("https://flagcdn.com/w80/nz.png")</f>
        <v/>
      </c>
      <c r="J18" s="3" t="inlineStr">
        <is>
          <t>Nova Zelândia</t>
        </is>
      </c>
    </row>
    <row r="19" ht="30" customHeight="1">
      <c r="A19" s="5" t="inlineStr">
        <is>
          <t>16/06/2026</t>
        </is>
      </c>
      <c r="B19" s="6" t="inlineStr">
        <is>
          <t>I</t>
        </is>
      </c>
      <c r="C19" s="5" t="inlineStr">
        <is>
          <t>França</t>
        </is>
      </c>
      <c r="D19" s="6">
        <f>IMAGE("https://flagcdn.com/w80/fr.png")</f>
        <v/>
      </c>
      <c r="E19" s="6" t="inlineStr"/>
      <c r="F19" s="6" t="inlineStr"/>
      <c r="G19" s="6" t="inlineStr"/>
      <c r="H19" s="6" t="inlineStr"/>
      <c r="I19" s="6">
        <f>IMAGE("https://flagcdn.com/w80/sn.png")</f>
        <v/>
      </c>
      <c r="J19" s="5" t="inlineStr">
        <is>
          <t>Senegal</t>
        </is>
      </c>
    </row>
    <row r="20" ht="30" customHeight="1">
      <c r="A20" s="5" t="inlineStr">
        <is>
          <t>16/06/2026</t>
        </is>
      </c>
      <c r="B20" s="6" t="inlineStr">
        <is>
          <t>I</t>
        </is>
      </c>
      <c r="C20" s="5" t="inlineStr">
        <is>
          <t>Iraque</t>
        </is>
      </c>
      <c r="D20" s="6">
        <f>IMAGE("https://flagcdn.com/w80/iq.png")</f>
        <v/>
      </c>
      <c r="E20" s="6" t="inlineStr"/>
      <c r="F20" s="6" t="inlineStr"/>
      <c r="G20" s="6" t="inlineStr"/>
      <c r="H20" s="6" t="inlineStr"/>
      <c r="I20" s="6">
        <f>IMAGE("https://flagcdn.com/w80/no.png")</f>
        <v/>
      </c>
      <c r="J20" s="5" t="inlineStr">
        <is>
          <t>Noruega</t>
        </is>
      </c>
    </row>
    <row r="21" ht="30" customHeight="1">
      <c r="A21" s="5" t="inlineStr">
        <is>
          <t>16/06/2026</t>
        </is>
      </c>
      <c r="B21" s="6" t="inlineStr">
        <is>
          <t>J</t>
        </is>
      </c>
      <c r="C21" s="5" t="inlineStr">
        <is>
          <t>Argentina</t>
        </is>
      </c>
      <c r="D21" s="6">
        <f>IMAGE("https://flagcdn.com/w80/ar.png")</f>
        <v/>
      </c>
      <c r="E21" s="6" t="inlineStr"/>
      <c r="F21" s="6" t="inlineStr"/>
      <c r="G21" s="6" t="inlineStr"/>
      <c r="H21" s="6" t="inlineStr"/>
      <c r="I21" s="6">
        <f>IMAGE("https://flagcdn.com/w80/dz.png")</f>
        <v/>
      </c>
      <c r="J21" s="5" t="inlineStr">
        <is>
          <t>Argélia</t>
        </is>
      </c>
    </row>
    <row r="22" ht="30" customHeight="1">
      <c r="A22" s="5" t="inlineStr">
        <is>
          <t>16/06/2026</t>
        </is>
      </c>
      <c r="B22" s="6" t="inlineStr">
        <is>
          <t>J</t>
        </is>
      </c>
      <c r="C22" s="5" t="inlineStr">
        <is>
          <t>Áustria</t>
        </is>
      </c>
      <c r="D22" s="6">
        <f>IMAGE("https://flagcdn.com/w80/at.png")</f>
        <v/>
      </c>
      <c r="E22" s="6" t="inlineStr"/>
      <c r="F22" s="6" t="inlineStr"/>
      <c r="G22" s="6" t="inlineStr"/>
      <c r="H22" s="6" t="inlineStr"/>
      <c r="I22" s="6">
        <f>IMAGE("https://flagcdn.com/w80/jo.png")</f>
        <v/>
      </c>
      <c r="J22" s="5" t="inlineStr">
        <is>
          <t>Jordânia</t>
        </is>
      </c>
    </row>
    <row r="23" ht="30" customHeight="1">
      <c r="A23" s="3" t="inlineStr">
        <is>
          <t>17/06/2026</t>
        </is>
      </c>
      <c r="B23" s="4" t="inlineStr">
        <is>
          <t>K</t>
        </is>
      </c>
      <c r="C23" s="3" t="inlineStr">
        <is>
          <t>Portugal</t>
        </is>
      </c>
      <c r="D23" s="4">
        <f>IMAGE("https://flagcdn.com/w80/pt.png")</f>
        <v/>
      </c>
      <c r="E23" s="4" t="inlineStr"/>
      <c r="F23" s="4" t="inlineStr"/>
      <c r="G23" s="4" t="inlineStr"/>
      <c r="H23" s="4" t="inlineStr"/>
      <c r="I23" s="4">
        <f>IMAGE("https://flagcdn.com/w80/cd.png")</f>
        <v/>
      </c>
      <c r="J23" s="3" t="inlineStr">
        <is>
          <t>RD Congo</t>
        </is>
      </c>
    </row>
    <row r="24" ht="30" customHeight="1">
      <c r="A24" s="3" t="inlineStr">
        <is>
          <t>17/06/2026</t>
        </is>
      </c>
      <c r="B24" s="4" t="inlineStr">
        <is>
          <t>L</t>
        </is>
      </c>
      <c r="C24" s="3" t="inlineStr">
        <is>
          <t>Inglaterra</t>
        </is>
      </c>
      <c r="D24" s="4">
        <f>IMAGE("https://flagcdn.com/w80/gb-eng.png")</f>
        <v/>
      </c>
      <c r="E24" s="4" t="inlineStr"/>
      <c r="F24" s="4" t="inlineStr"/>
      <c r="G24" s="4" t="inlineStr"/>
      <c r="H24" s="4" t="inlineStr"/>
      <c r="I24" s="4">
        <f>IMAGE("https://flagcdn.com/w80/hr.png")</f>
        <v/>
      </c>
      <c r="J24" s="3" t="inlineStr">
        <is>
          <t>Croácia</t>
        </is>
      </c>
    </row>
    <row r="25" ht="30" customHeight="1">
      <c r="A25" s="3" t="inlineStr">
        <is>
          <t>17/06/2026</t>
        </is>
      </c>
      <c r="B25" s="4" t="inlineStr">
        <is>
          <t>L</t>
        </is>
      </c>
      <c r="C25" s="3" t="inlineStr">
        <is>
          <t>Gana</t>
        </is>
      </c>
      <c r="D25" s="4">
        <f>IMAGE("https://flagcdn.com/w80/gh.png")</f>
        <v/>
      </c>
      <c r="E25" s="4" t="inlineStr"/>
      <c r="F25" s="4" t="inlineStr"/>
      <c r="G25" s="4" t="inlineStr"/>
      <c r="H25" s="4" t="inlineStr"/>
      <c r="I25" s="4">
        <f>IMAGE("https://flagcdn.com/w80/pa.png")</f>
        <v/>
      </c>
      <c r="J25" s="3" t="inlineStr">
        <is>
          <t>Panamá</t>
        </is>
      </c>
    </row>
    <row r="26" ht="30" customHeight="1">
      <c r="A26" s="3" t="inlineStr">
        <is>
          <t>17/06/2026</t>
        </is>
      </c>
      <c r="B26" s="4" t="inlineStr">
        <is>
          <t>K</t>
        </is>
      </c>
      <c r="C26" s="3" t="inlineStr">
        <is>
          <t>Uzbequistão</t>
        </is>
      </c>
      <c r="D26" s="4">
        <f>IMAGE("https://flagcdn.com/w80/uz.png")</f>
        <v/>
      </c>
      <c r="E26" s="4" t="inlineStr"/>
      <c r="F26" s="4" t="inlineStr"/>
      <c r="G26" s="4" t="inlineStr"/>
      <c r="H26" s="4" t="inlineStr"/>
      <c r="I26" s="4">
        <f>IMAGE("https://flagcdn.com/w80/co.png")</f>
        <v/>
      </c>
      <c r="J26" s="3" t="inlineStr">
        <is>
          <t>Colômbia</t>
        </is>
      </c>
    </row>
    <row r="27" ht="30" customHeight="1">
      <c r="A27" s="5" t="inlineStr">
        <is>
          <t>18/06/2026</t>
        </is>
      </c>
      <c r="B27" s="6" t="inlineStr">
        <is>
          <t>A</t>
        </is>
      </c>
      <c r="C27" s="5" t="inlineStr">
        <is>
          <t>Rep. Tcheca</t>
        </is>
      </c>
      <c r="D27" s="6">
        <f>IMAGE("https://flagcdn.com/w80/cz.png")</f>
        <v/>
      </c>
      <c r="E27" s="6" t="inlineStr"/>
      <c r="F27" s="6" t="inlineStr"/>
      <c r="G27" s="6" t="inlineStr"/>
      <c r="H27" s="6" t="inlineStr"/>
      <c r="I27" s="6">
        <f>IMAGE("https://flagcdn.com/w80/za.png")</f>
        <v/>
      </c>
      <c r="J27" s="5" t="inlineStr">
        <is>
          <t>África do Sul</t>
        </is>
      </c>
    </row>
    <row r="28" ht="30" customHeight="1">
      <c r="A28" s="5" t="inlineStr">
        <is>
          <t>18/06/2026</t>
        </is>
      </c>
      <c r="B28" s="6" t="inlineStr">
        <is>
          <t>B</t>
        </is>
      </c>
      <c r="C28" s="5" t="inlineStr">
        <is>
          <t>Suíça</t>
        </is>
      </c>
      <c r="D28" s="6">
        <f>IMAGE("https://flagcdn.com/w80/ch.png")</f>
        <v/>
      </c>
      <c r="E28" s="6" t="inlineStr"/>
      <c r="F28" s="6" t="inlineStr"/>
      <c r="G28" s="6" t="inlineStr"/>
      <c r="H28" s="6" t="inlineStr"/>
      <c r="I28" s="6">
        <f>IMAGE("https://flagcdn.com/w80/ba.png")</f>
        <v/>
      </c>
      <c r="J28" s="5" t="inlineStr">
        <is>
          <t>Bósnia e Herzegovina</t>
        </is>
      </c>
    </row>
    <row r="29" ht="30" customHeight="1">
      <c r="A29" s="5" t="inlineStr">
        <is>
          <t>18/06/2026</t>
        </is>
      </c>
      <c r="B29" s="6" t="inlineStr">
        <is>
          <t>B</t>
        </is>
      </c>
      <c r="C29" s="5" t="inlineStr">
        <is>
          <t>Canadá</t>
        </is>
      </c>
      <c r="D29" s="6">
        <f>IMAGE("https://flagcdn.com/w80/ca.png")</f>
        <v/>
      </c>
      <c r="E29" s="6" t="inlineStr"/>
      <c r="F29" s="6" t="inlineStr"/>
      <c r="G29" s="6" t="inlineStr"/>
      <c r="H29" s="6" t="inlineStr"/>
      <c r="I29" s="6">
        <f>IMAGE("https://flagcdn.com/w80/qa.png")</f>
        <v/>
      </c>
      <c r="J29" s="5" t="inlineStr">
        <is>
          <t>Catar</t>
        </is>
      </c>
    </row>
    <row r="30" ht="30" customHeight="1">
      <c r="A30" s="5" t="inlineStr">
        <is>
          <t>18/06/2026</t>
        </is>
      </c>
      <c r="B30" s="6" t="inlineStr">
        <is>
          <t>A</t>
        </is>
      </c>
      <c r="C30" s="5" t="inlineStr">
        <is>
          <t>México</t>
        </is>
      </c>
      <c r="D30" s="6">
        <f>IMAGE("https://flagcdn.com/w80/mx.png")</f>
        <v/>
      </c>
      <c r="E30" s="6" t="inlineStr"/>
      <c r="F30" s="6" t="inlineStr"/>
      <c r="G30" s="6" t="inlineStr"/>
      <c r="H30" s="6" t="inlineStr"/>
      <c r="I30" s="6">
        <f>IMAGE("https://flagcdn.com/w80/kr.png")</f>
        <v/>
      </c>
      <c r="J30" s="5" t="inlineStr">
        <is>
          <t>Coreia do Sul</t>
        </is>
      </c>
    </row>
    <row r="31" ht="30" customHeight="1">
      <c r="A31" s="3" t="inlineStr">
        <is>
          <t>19/06/2026</t>
        </is>
      </c>
      <c r="B31" s="4" t="inlineStr">
        <is>
          <t>D</t>
        </is>
      </c>
      <c r="C31" s="3" t="inlineStr">
        <is>
          <t>Estados Unidos</t>
        </is>
      </c>
      <c r="D31" s="4">
        <f>IMAGE("https://flagcdn.com/w80/us.png")</f>
        <v/>
      </c>
      <c r="E31" s="4" t="inlineStr"/>
      <c r="F31" s="4" t="inlineStr"/>
      <c r="G31" s="4" t="inlineStr"/>
      <c r="H31" s="4" t="inlineStr"/>
      <c r="I31" s="4">
        <f>IMAGE("https://flagcdn.com/w80/au.png")</f>
        <v/>
      </c>
      <c r="J31" s="3" t="inlineStr">
        <is>
          <t>Austrália</t>
        </is>
      </c>
    </row>
    <row r="32" ht="30" customHeight="1">
      <c r="A32" s="3" t="inlineStr">
        <is>
          <t>19/06/2026</t>
        </is>
      </c>
      <c r="B32" s="4" t="inlineStr">
        <is>
          <t>C</t>
        </is>
      </c>
      <c r="C32" s="3" t="inlineStr">
        <is>
          <t>Escócia</t>
        </is>
      </c>
      <c r="D32" s="4">
        <f>IMAGE("https://flagcdn.com/w80/gb-sct.png")</f>
        <v/>
      </c>
      <c r="E32" s="4" t="inlineStr"/>
      <c r="F32" s="4" t="inlineStr"/>
      <c r="G32" s="4" t="inlineStr"/>
      <c r="H32" s="4" t="inlineStr"/>
      <c r="I32" s="4">
        <f>IMAGE("https://flagcdn.com/w80/ma.png")</f>
        <v/>
      </c>
      <c r="J32" s="3" t="inlineStr">
        <is>
          <t>Marrocos</t>
        </is>
      </c>
    </row>
    <row r="33" ht="30" customHeight="1">
      <c r="A33" s="3" t="inlineStr">
        <is>
          <t>19/06/2026</t>
        </is>
      </c>
      <c r="B33" s="4" t="inlineStr">
        <is>
          <t>C</t>
        </is>
      </c>
      <c r="C33" s="3" t="inlineStr">
        <is>
          <t>Brasil</t>
        </is>
      </c>
      <c r="D33" s="4">
        <f>IMAGE("https://flagcdn.com/w80/br.png")</f>
        <v/>
      </c>
      <c r="E33" s="4" t="inlineStr"/>
      <c r="F33" s="4" t="inlineStr"/>
      <c r="G33" s="4" t="inlineStr"/>
      <c r="H33" s="4" t="inlineStr"/>
      <c r="I33" s="4">
        <f>IMAGE("https://flagcdn.com/w80/ht.png")</f>
        <v/>
      </c>
      <c r="J33" s="3" t="inlineStr">
        <is>
          <t>Haiti</t>
        </is>
      </c>
    </row>
    <row r="34" ht="30" customHeight="1">
      <c r="A34" s="3" t="inlineStr">
        <is>
          <t>19/06/2026</t>
        </is>
      </c>
      <c r="B34" s="4" t="inlineStr">
        <is>
          <t>D</t>
        </is>
      </c>
      <c r="C34" s="3" t="inlineStr">
        <is>
          <t>Turquia</t>
        </is>
      </c>
      <c r="D34" s="4">
        <f>IMAGE("https://flagcdn.com/w80/tr.png")</f>
        <v/>
      </c>
      <c r="E34" s="4" t="inlineStr"/>
      <c r="F34" s="4" t="inlineStr"/>
      <c r="G34" s="4" t="inlineStr"/>
      <c r="H34" s="4" t="inlineStr"/>
      <c r="I34" s="4">
        <f>IMAGE("https://flagcdn.com/w80/py.png")</f>
        <v/>
      </c>
      <c r="J34" s="3" t="inlineStr">
        <is>
          <t>Paraguai</t>
        </is>
      </c>
    </row>
    <row r="35" ht="30" customHeight="1">
      <c r="A35" s="5" t="inlineStr">
        <is>
          <t>20/06/2026</t>
        </is>
      </c>
      <c r="B35" s="6" t="inlineStr">
        <is>
          <t>F</t>
        </is>
      </c>
      <c r="C35" s="5" t="inlineStr">
        <is>
          <t>Países Baixos</t>
        </is>
      </c>
      <c r="D35" s="6">
        <f>IMAGE("https://flagcdn.com/w80/nl.png")</f>
        <v/>
      </c>
      <c r="E35" s="6" t="inlineStr"/>
      <c r="F35" s="6" t="inlineStr"/>
      <c r="G35" s="6" t="inlineStr"/>
      <c r="H35" s="6" t="inlineStr"/>
      <c r="I35" s="6">
        <f>IMAGE("https://flagcdn.com/w80/se.png")</f>
        <v/>
      </c>
      <c r="J35" s="5" t="inlineStr">
        <is>
          <t>Suécia</t>
        </is>
      </c>
    </row>
    <row r="36" ht="30" customHeight="1">
      <c r="A36" s="5" t="inlineStr">
        <is>
          <t>20/06/2026</t>
        </is>
      </c>
      <c r="B36" s="6" t="inlineStr">
        <is>
          <t>E</t>
        </is>
      </c>
      <c r="C36" s="5" t="inlineStr">
        <is>
          <t>Alemanha</t>
        </is>
      </c>
      <c r="D36" s="6">
        <f>IMAGE("https://flagcdn.com/w80/de.png")</f>
        <v/>
      </c>
      <c r="E36" s="6" t="inlineStr"/>
      <c r="F36" s="6" t="inlineStr"/>
      <c r="G36" s="6" t="inlineStr"/>
      <c r="H36" s="6" t="inlineStr"/>
      <c r="I36" s="6">
        <f>IMAGE("https://flagcdn.com/w80/ci.png")</f>
        <v/>
      </c>
      <c r="J36" s="5" t="inlineStr">
        <is>
          <t>Costa do Marfim</t>
        </is>
      </c>
    </row>
    <row r="37" ht="30" customHeight="1">
      <c r="A37" s="5" t="inlineStr">
        <is>
          <t>20/06/2026</t>
        </is>
      </c>
      <c r="B37" s="6" t="inlineStr">
        <is>
          <t>E</t>
        </is>
      </c>
      <c r="C37" s="5" t="inlineStr">
        <is>
          <t>Equador</t>
        </is>
      </c>
      <c r="D37" s="6">
        <f>IMAGE("https://flagcdn.com/w80/ec.png")</f>
        <v/>
      </c>
      <c r="E37" s="6" t="inlineStr"/>
      <c r="F37" s="6" t="inlineStr"/>
      <c r="G37" s="6" t="inlineStr"/>
      <c r="H37" s="6" t="inlineStr"/>
      <c r="I37" s="6">
        <f>IMAGE("https://flagcdn.com/w80/cw.png")</f>
        <v/>
      </c>
      <c r="J37" s="5" t="inlineStr">
        <is>
          <t>Curaçao</t>
        </is>
      </c>
    </row>
    <row r="38" ht="30" customHeight="1">
      <c r="A38" s="5" t="inlineStr">
        <is>
          <t>20/06/2026</t>
        </is>
      </c>
      <c r="B38" s="6" t="inlineStr">
        <is>
          <t>F</t>
        </is>
      </c>
      <c r="C38" s="5" t="inlineStr">
        <is>
          <t>Tunísia</t>
        </is>
      </c>
      <c r="D38" s="6">
        <f>IMAGE("https://flagcdn.com/w80/tn.png")</f>
        <v/>
      </c>
      <c r="E38" s="6" t="inlineStr"/>
      <c r="F38" s="6" t="inlineStr"/>
      <c r="G38" s="6" t="inlineStr"/>
      <c r="H38" s="6" t="inlineStr"/>
      <c r="I38" s="6">
        <f>IMAGE("https://flagcdn.com/w80/jp.png")</f>
        <v/>
      </c>
      <c r="J38" s="5" t="inlineStr">
        <is>
          <t>Japão</t>
        </is>
      </c>
    </row>
    <row r="39" ht="30" customHeight="1">
      <c r="A39" s="3" t="inlineStr">
        <is>
          <t>21/06/2026</t>
        </is>
      </c>
      <c r="B39" s="4" t="inlineStr">
        <is>
          <t>H</t>
        </is>
      </c>
      <c r="C39" s="3" t="inlineStr">
        <is>
          <t>Espanha</t>
        </is>
      </c>
      <c r="D39" s="4">
        <f>IMAGE("https://flagcdn.com/w80/es.png")</f>
        <v/>
      </c>
      <c r="E39" s="4" t="inlineStr"/>
      <c r="F39" s="4" t="inlineStr"/>
      <c r="G39" s="4" t="inlineStr"/>
      <c r="H39" s="4" t="inlineStr"/>
      <c r="I39" s="4">
        <f>IMAGE("https://flagcdn.com/w80/sa.png")</f>
        <v/>
      </c>
      <c r="J39" s="3" t="inlineStr">
        <is>
          <t>Arábia Saudita</t>
        </is>
      </c>
    </row>
    <row r="40" ht="30" customHeight="1">
      <c r="A40" s="3" t="inlineStr">
        <is>
          <t>21/06/2026</t>
        </is>
      </c>
      <c r="B40" s="4" t="inlineStr">
        <is>
          <t>G</t>
        </is>
      </c>
      <c r="C40" s="3" t="inlineStr">
        <is>
          <t>Bélgica</t>
        </is>
      </c>
      <c r="D40" s="4">
        <f>IMAGE("https://flagcdn.com/w80/be.png")</f>
        <v/>
      </c>
      <c r="E40" s="4" t="inlineStr"/>
      <c r="F40" s="4" t="inlineStr"/>
      <c r="G40" s="4" t="inlineStr"/>
      <c r="H40" s="4" t="inlineStr"/>
      <c r="I40" s="4">
        <f>IMAGE("https://flagcdn.com/w80/ir.png")</f>
        <v/>
      </c>
      <c r="J40" s="3" t="inlineStr">
        <is>
          <t>Irã</t>
        </is>
      </c>
    </row>
    <row r="41" ht="30" customHeight="1">
      <c r="A41" s="3" t="inlineStr">
        <is>
          <t>21/06/2026</t>
        </is>
      </c>
      <c r="B41" s="4" t="inlineStr">
        <is>
          <t>H</t>
        </is>
      </c>
      <c r="C41" s="3" t="inlineStr">
        <is>
          <t>Uruguai</t>
        </is>
      </c>
      <c r="D41" s="4">
        <f>IMAGE("https://flagcdn.com/w80/uy.png")</f>
        <v/>
      </c>
      <c r="E41" s="4" t="inlineStr"/>
      <c r="F41" s="4" t="inlineStr"/>
      <c r="G41" s="4" t="inlineStr"/>
      <c r="H41" s="4" t="inlineStr"/>
      <c r="I41" s="4">
        <f>IMAGE("https://flagcdn.com/w80/cv.png")</f>
        <v/>
      </c>
      <c r="J41" s="3" t="inlineStr">
        <is>
          <t>Cabo Verde</t>
        </is>
      </c>
    </row>
    <row r="42" ht="30" customHeight="1">
      <c r="A42" s="3" t="inlineStr">
        <is>
          <t>21/06/2026</t>
        </is>
      </c>
      <c r="B42" s="4" t="inlineStr">
        <is>
          <t>G</t>
        </is>
      </c>
      <c r="C42" s="3" t="inlineStr">
        <is>
          <t>Nova Zelândia</t>
        </is>
      </c>
      <c r="D42" s="4">
        <f>IMAGE("https://flagcdn.com/w80/nz.png")</f>
        <v/>
      </c>
      <c r="E42" s="4" t="inlineStr"/>
      <c r="F42" s="4" t="inlineStr"/>
      <c r="G42" s="4" t="inlineStr"/>
      <c r="H42" s="4" t="inlineStr"/>
      <c r="I42" s="4">
        <f>IMAGE("https://flagcdn.com/w80/eg.png")</f>
        <v/>
      </c>
      <c r="J42" s="3" t="inlineStr">
        <is>
          <t>Egito</t>
        </is>
      </c>
    </row>
    <row r="43" ht="30" customHeight="1">
      <c r="A43" s="5" t="inlineStr">
        <is>
          <t>22/06/2026</t>
        </is>
      </c>
      <c r="B43" s="6" t="inlineStr">
        <is>
          <t>J</t>
        </is>
      </c>
      <c r="C43" s="5" t="inlineStr">
        <is>
          <t>Argentina</t>
        </is>
      </c>
      <c r="D43" s="6">
        <f>IMAGE("https://flagcdn.com/w80/ar.png")</f>
        <v/>
      </c>
      <c r="E43" s="6" t="inlineStr"/>
      <c r="F43" s="6" t="inlineStr"/>
      <c r="G43" s="6" t="inlineStr"/>
      <c r="H43" s="6" t="inlineStr"/>
      <c r="I43" s="6">
        <f>IMAGE("https://flagcdn.com/w80/at.png")</f>
        <v/>
      </c>
      <c r="J43" s="5" t="inlineStr">
        <is>
          <t>Áustria</t>
        </is>
      </c>
    </row>
    <row r="44" ht="30" customHeight="1">
      <c r="A44" s="5" t="inlineStr">
        <is>
          <t>22/06/2026</t>
        </is>
      </c>
      <c r="B44" s="6" t="inlineStr">
        <is>
          <t>I</t>
        </is>
      </c>
      <c r="C44" s="5" t="inlineStr">
        <is>
          <t>França</t>
        </is>
      </c>
      <c r="D44" s="6">
        <f>IMAGE("https://flagcdn.com/w80/fr.png")</f>
        <v/>
      </c>
      <c r="E44" s="6" t="inlineStr"/>
      <c r="F44" s="6" t="inlineStr"/>
      <c r="G44" s="6" t="inlineStr"/>
      <c r="H44" s="6" t="inlineStr"/>
      <c r="I44" s="6">
        <f>IMAGE("https://flagcdn.com/w80/iq.png")</f>
        <v/>
      </c>
      <c r="J44" s="5" t="inlineStr">
        <is>
          <t>Iraque</t>
        </is>
      </c>
    </row>
    <row r="45" ht="30" customHeight="1">
      <c r="A45" s="5" t="inlineStr">
        <is>
          <t>22/06/2026</t>
        </is>
      </c>
      <c r="B45" s="6" t="inlineStr">
        <is>
          <t>I</t>
        </is>
      </c>
      <c r="C45" s="5" t="inlineStr">
        <is>
          <t>Noruega</t>
        </is>
      </c>
      <c r="D45" s="6">
        <f>IMAGE("https://flagcdn.com/w80/no.png")</f>
        <v/>
      </c>
      <c r="E45" s="6" t="inlineStr"/>
      <c r="F45" s="6" t="inlineStr"/>
      <c r="G45" s="6" t="inlineStr"/>
      <c r="H45" s="6" t="inlineStr"/>
      <c r="I45" s="6">
        <f>IMAGE("https://flagcdn.com/w80/sn.png")</f>
        <v/>
      </c>
      <c r="J45" s="5" t="inlineStr">
        <is>
          <t>Senegal</t>
        </is>
      </c>
    </row>
    <row r="46" ht="30" customHeight="1">
      <c r="A46" s="5" t="inlineStr">
        <is>
          <t>22/06/2026</t>
        </is>
      </c>
      <c r="B46" s="6" t="inlineStr">
        <is>
          <t>J</t>
        </is>
      </c>
      <c r="C46" s="5" t="inlineStr">
        <is>
          <t>Jordânia</t>
        </is>
      </c>
      <c r="D46" s="6">
        <f>IMAGE("https://flagcdn.com/w80/jo.png")</f>
        <v/>
      </c>
      <c r="E46" s="6" t="inlineStr"/>
      <c r="F46" s="6" t="inlineStr"/>
      <c r="G46" s="6" t="inlineStr"/>
      <c r="H46" s="6" t="inlineStr"/>
      <c r="I46" s="6">
        <f>IMAGE("https://flagcdn.com/w80/dz.png")</f>
        <v/>
      </c>
      <c r="J46" s="5" t="inlineStr">
        <is>
          <t>Argélia</t>
        </is>
      </c>
    </row>
    <row r="47" ht="30" customHeight="1">
      <c r="A47" s="3" t="inlineStr">
        <is>
          <t>23/06/2026</t>
        </is>
      </c>
      <c r="B47" s="4" t="inlineStr">
        <is>
          <t>K</t>
        </is>
      </c>
      <c r="C47" s="3" t="inlineStr">
        <is>
          <t>Portugal</t>
        </is>
      </c>
      <c r="D47" s="4">
        <f>IMAGE("https://flagcdn.com/w80/pt.png")</f>
        <v/>
      </c>
      <c r="E47" s="4" t="inlineStr"/>
      <c r="F47" s="4" t="inlineStr"/>
      <c r="G47" s="4" t="inlineStr"/>
      <c r="H47" s="4" t="inlineStr"/>
      <c r="I47" s="4">
        <f>IMAGE("https://flagcdn.com/w80/uz.png")</f>
        <v/>
      </c>
      <c r="J47" s="3" t="inlineStr">
        <is>
          <t>Uzbequistão</t>
        </is>
      </c>
    </row>
    <row r="48" ht="30" customHeight="1">
      <c r="A48" s="3" t="inlineStr">
        <is>
          <t>23/06/2026</t>
        </is>
      </c>
      <c r="B48" s="4" t="inlineStr">
        <is>
          <t>L</t>
        </is>
      </c>
      <c r="C48" s="3" t="inlineStr">
        <is>
          <t>Inglaterra</t>
        </is>
      </c>
      <c r="D48" s="4">
        <f>IMAGE("https://flagcdn.com/w80/gb-eng.png")</f>
        <v/>
      </c>
      <c r="E48" s="4" t="inlineStr"/>
      <c r="F48" s="4" t="inlineStr"/>
      <c r="G48" s="4" t="inlineStr"/>
      <c r="H48" s="4" t="inlineStr"/>
      <c r="I48" s="4">
        <f>IMAGE("https://flagcdn.com/w80/gh.png")</f>
        <v/>
      </c>
      <c r="J48" s="3" t="inlineStr">
        <is>
          <t>Gana</t>
        </is>
      </c>
    </row>
    <row r="49" ht="30" customHeight="1">
      <c r="A49" s="3" t="inlineStr">
        <is>
          <t>23/06/2026</t>
        </is>
      </c>
      <c r="B49" s="4" t="inlineStr">
        <is>
          <t>L</t>
        </is>
      </c>
      <c r="C49" s="3" t="inlineStr">
        <is>
          <t>Panamá</t>
        </is>
      </c>
      <c r="D49" s="4">
        <f>IMAGE("https://flagcdn.com/w80/pa.png")</f>
        <v/>
      </c>
      <c r="E49" s="4" t="inlineStr"/>
      <c r="F49" s="4" t="inlineStr"/>
      <c r="G49" s="4" t="inlineStr"/>
      <c r="H49" s="4" t="inlineStr"/>
      <c r="I49" s="4">
        <f>IMAGE("https://flagcdn.com/w80/hr.png")</f>
        <v/>
      </c>
      <c r="J49" s="3" t="inlineStr">
        <is>
          <t>Croácia</t>
        </is>
      </c>
    </row>
    <row r="50" ht="30" customHeight="1">
      <c r="A50" s="3" t="inlineStr">
        <is>
          <t>23/06/2026</t>
        </is>
      </c>
      <c r="B50" s="4" t="inlineStr">
        <is>
          <t>K</t>
        </is>
      </c>
      <c r="C50" s="3" t="inlineStr">
        <is>
          <t>Colômbia</t>
        </is>
      </c>
      <c r="D50" s="4">
        <f>IMAGE("https://flagcdn.com/w80/co.png")</f>
        <v/>
      </c>
      <c r="E50" s="4" t="inlineStr"/>
      <c r="F50" s="4" t="inlineStr"/>
      <c r="G50" s="4" t="inlineStr"/>
      <c r="H50" s="4" t="inlineStr"/>
      <c r="I50" s="4">
        <f>IMAGE("https://flagcdn.com/w80/cd.png")</f>
        <v/>
      </c>
      <c r="J50" s="3" t="inlineStr">
        <is>
          <t>RD Congo</t>
        </is>
      </c>
    </row>
    <row r="51" ht="30" customHeight="1">
      <c r="A51" s="5" t="inlineStr">
        <is>
          <t>24/06/2026</t>
        </is>
      </c>
      <c r="B51" s="6" t="inlineStr">
        <is>
          <t>B</t>
        </is>
      </c>
      <c r="C51" s="5" t="inlineStr">
        <is>
          <t>Suíça</t>
        </is>
      </c>
      <c r="D51" s="6">
        <f>IMAGE("https://flagcdn.com/w80/ch.png")</f>
        <v/>
      </c>
      <c r="E51" s="6" t="inlineStr"/>
      <c r="F51" s="6" t="inlineStr"/>
      <c r="G51" s="6" t="inlineStr"/>
      <c r="H51" s="6" t="inlineStr"/>
      <c r="I51" s="6">
        <f>IMAGE("https://flagcdn.com/w80/ca.png")</f>
        <v/>
      </c>
      <c r="J51" s="5" t="inlineStr">
        <is>
          <t>Canadá</t>
        </is>
      </c>
    </row>
    <row r="52" ht="30" customHeight="1">
      <c r="A52" s="5" t="inlineStr">
        <is>
          <t>24/06/2026</t>
        </is>
      </c>
      <c r="B52" s="6" t="inlineStr">
        <is>
          <t>B</t>
        </is>
      </c>
      <c r="C52" s="5" t="inlineStr">
        <is>
          <t>Bósnia e Herzegovina</t>
        </is>
      </c>
      <c r="D52" s="6">
        <f>IMAGE("https://flagcdn.com/w80/ba.png")</f>
        <v/>
      </c>
      <c r="E52" s="6" t="inlineStr"/>
      <c r="F52" s="6" t="inlineStr"/>
      <c r="G52" s="6" t="inlineStr"/>
      <c r="H52" s="6" t="inlineStr"/>
      <c r="I52" s="6">
        <f>IMAGE("https://flagcdn.com/w80/qa.png")</f>
        <v/>
      </c>
      <c r="J52" s="5" t="inlineStr">
        <is>
          <t>Catar</t>
        </is>
      </c>
    </row>
    <row r="53" ht="30" customHeight="1">
      <c r="A53" s="5" t="inlineStr">
        <is>
          <t>24/06/2026</t>
        </is>
      </c>
      <c r="B53" s="6" t="inlineStr">
        <is>
          <t>C</t>
        </is>
      </c>
      <c r="C53" s="5" t="inlineStr">
        <is>
          <t>Escócia</t>
        </is>
      </c>
      <c r="D53" s="6">
        <f>IMAGE("https://flagcdn.com/w80/gb-sct.png")</f>
        <v/>
      </c>
      <c r="E53" s="6" t="inlineStr"/>
      <c r="F53" s="6" t="inlineStr"/>
      <c r="G53" s="6" t="inlineStr"/>
      <c r="H53" s="6" t="inlineStr"/>
      <c r="I53" s="6">
        <f>IMAGE("https://flagcdn.com/w80/br.png")</f>
        <v/>
      </c>
      <c r="J53" s="5" t="inlineStr">
        <is>
          <t>Brasil</t>
        </is>
      </c>
    </row>
    <row r="54" ht="30" customHeight="1">
      <c r="A54" s="5" t="inlineStr">
        <is>
          <t>24/06/2026</t>
        </is>
      </c>
      <c r="B54" s="6" t="inlineStr">
        <is>
          <t>C</t>
        </is>
      </c>
      <c r="C54" s="5" t="inlineStr">
        <is>
          <t>Marrocos</t>
        </is>
      </c>
      <c r="D54" s="6">
        <f>IMAGE("https://flagcdn.com/w80/ma.png")</f>
        <v/>
      </c>
      <c r="E54" s="6" t="inlineStr"/>
      <c r="F54" s="6" t="inlineStr"/>
      <c r="G54" s="6" t="inlineStr"/>
      <c r="H54" s="6" t="inlineStr"/>
      <c r="I54" s="6">
        <f>IMAGE("https://flagcdn.com/w80/ht.png")</f>
        <v/>
      </c>
      <c r="J54" s="5" t="inlineStr">
        <is>
          <t>Haiti</t>
        </is>
      </c>
    </row>
    <row r="55" ht="30" customHeight="1">
      <c r="A55" s="5" t="inlineStr">
        <is>
          <t>24/06/2026</t>
        </is>
      </c>
      <c r="B55" s="6" t="inlineStr">
        <is>
          <t>A</t>
        </is>
      </c>
      <c r="C55" s="5" t="inlineStr">
        <is>
          <t>Rep. Tcheca</t>
        </is>
      </c>
      <c r="D55" s="6">
        <f>IMAGE("https://flagcdn.com/w80/cz.png")</f>
        <v/>
      </c>
      <c r="E55" s="6" t="inlineStr"/>
      <c r="F55" s="6" t="inlineStr"/>
      <c r="G55" s="6" t="inlineStr"/>
      <c r="H55" s="6" t="inlineStr"/>
      <c r="I55" s="6">
        <f>IMAGE("https://flagcdn.com/w80/mx.png")</f>
        <v/>
      </c>
      <c r="J55" s="5" t="inlineStr">
        <is>
          <t>México</t>
        </is>
      </c>
    </row>
    <row r="56" ht="30" customHeight="1">
      <c r="A56" s="5" t="inlineStr">
        <is>
          <t>24/06/2026</t>
        </is>
      </c>
      <c r="B56" s="6" t="inlineStr">
        <is>
          <t>A</t>
        </is>
      </c>
      <c r="C56" s="5" t="inlineStr">
        <is>
          <t>África do Sul</t>
        </is>
      </c>
      <c r="D56" s="6">
        <f>IMAGE("https://flagcdn.com/w80/za.png")</f>
        <v/>
      </c>
      <c r="E56" s="6" t="inlineStr"/>
      <c r="F56" s="6" t="inlineStr"/>
      <c r="G56" s="6" t="inlineStr"/>
      <c r="H56" s="6" t="inlineStr"/>
      <c r="I56" s="6">
        <f>IMAGE("https://flagcdn.com/w80/kr.png")</f>
        <v/>
      </c>
      <c r="J56" s="5" t="inlineStr">
        <is>
          <t>Coreia do Sul</t>
        </is>
      </c>
    </row>
    <row r="57" ht="30" customHeight="1">
      <c r="A57" s="3" t="inlineStr">
        <is>
          <t>25/06/2026</t>
        </is>
      </c>
      <c r="B57" s="4" t="inlineStr">
        <is>
          <t>E</t>
        </is>
      </c>
      <c r="C57" s="3" t="inlineStr">
        <is>
          <t>Equador</t>
        </is>
      </c>
      <c r="D57" s="4">
        <f>IMAGE("https://flagcdn.com/w80/ec.png")</f>
        <v/>
      </c>
      <c r="E57" s="4" t="inlineStr"/>
      <c r="F57" s="4" t="inlineStr"/>
      <c r="G57" s="4" t="inlineStr"/>
      <c r="H57" s="4" t="inlineStr"/>
      <c r="I57" s="4">
        <f>IMAGE("https://flagcdn.com/w80/de.png")</f>
        <v/>
      </c>
      <c r="J57" s="3" t="inlineStr">
        <is>
          <t>Alemanha</t>
        </is>
      </c>
    </row>
    <row r="58" ht="30" customHeight="1">
      <c r="A58" s="3" t="inlineStr">
        <is>
          <t>25/06/2026</t>
        </is>
      </c>
      <c r="B58" s="4" t="inlineStr">
        <is>
          <t>E</t>
        </is>
      </c>
      <c r="C58" s="3" t="inlineStr">
        <is>
          <t>Curaçao</t>
        </is>
      </c>
      <c r="D58" s="4">
        <f>IMAGE("https://flagcdn.com/w80/cw.png")</f>
        <v/>
      </c>
      <c r="E58" s="4" t="inlineStr"/>
      <c r="F58" s="4" t="inlineStr"/>
      <c r="G58" s="4" t="inlineStr"/>
      <c r="H58" s="4" t="inlineStr"/>
      <c r="I58" s="4">
        <f>IMAGE("https://flagcdn.com/w80/ci.png")</f>
        <v/>
      </c>
      <c r="J58" s="3" t="inlineStr">
        <is>
          <t>Costa do Marfim</t>
        </is>
      </c>
    </row>
    <row r="59" ht="30" customHeight="1">
      <c r="A59" s="3" t="inlineStr">
        <is>
          <t>25/06/2026</t>
        </is>
      </c>
      <c r="B59" s="4" t="inlineStr">
        <is>
          <t>F</t>
        </is>
      </c>
      <c r="C59" s="3" t="inlineStr">
        <is>
          <t>Japão</t>
        </is>
      </c>
      <c r="D59" s="4">
        <f>IMAGE("https://flagcdn.com/w80/jp.png")</f>
        <v/>
      </c>
      <c r="E59" s="4" t="inlineStr"/>
      <c r="F59" s="4" t="inlineStr"/>
      <c r="G59" s="4" t="inlineStr"/>
      <c r="H59" s="4" t="inlineStr"/>
      <c r="I59" s="4">
        <f>IMAGE("https://flagcdn.com/w80/se.png")</f>
        <v/>
      </c>
      <c r="J59" s="3" t="inlineStr">
        <is>
          <t>Suécia</t>
        </is>
      </c>
    </row>
    <row r="60" ht="30" customHeight="1">
      <c r="A60" s="3" t="inlineStr">
        <is>
          <t>25/06/2026</t>
        </is>
      </c>
      <c r="B60" s="4" t="inlineStr">
        <is>
          <t>F</t>
        </is>
      </c>
      <c r="C60" s="3" t="inlineStr">
        <is>
          <t>Tunísia</t>
        </is>
      </c>
      <c r="D60" s="4">
        <f>IMAGE("https://flagcdn.com/w80/tn.png")</f>
        <v/>
      </c>
      <c r="E60" s="4" t="inlineStr"/>
      <c r="F60" s="4" t="inlineStr"/>
      <c r="G60" s="4" t="inlineStr"/>
      <c r="H60" s="4" t="inlineStr"/>
      <c r="I60" s="4">
        <f>IMAGE("https://flagcdn.com/w80/nl.png")</f>
        <v/>
      </c>
      <c r="J60" s="3" t="inlineStr">
        <is>
          <t>Países Baixos</t>
        </is>
      </c>
    </row>
    <row r="61" ht="30" customHeight="1">
      <c r="A61" s="3" t="inlineStr">
        <is>
          <t>25/06/2026</t>
        </is>
      </c>
      <c r="B61" s="4" t="inlineStr">
        <is>
          <t>D</t>
        </is>
      </c>
      <c r="C61" s="3" t="inlineStr">
        <is>
          <t>Turquia</t>
        </is>
      </c>
      <c r="D61" s="4">
        <f>IMAGE("https://flagcdn.com/w80/tr.png")</f>
        <v/>
      </c>
      <c r="E61" s="4" t="inlineStr"/>
      <c r="F61" s="4" t="inlineStr"/>
      <c r="G61" s="4" t="inlineStr"/>
      <c r="H61" s="4" t="inlineStr"/>
      <c r="I61" s="4">
        <f>IMAGE("https://flagcdn.com/w80/us.png")</f>
        <v/>
      </c>
      <c r="J61" s="3" t="inlineStr">
        <is>
          <t>Estados Unidos</t>
        </is>
      </c>
    </row>
    <row r="62" ht="30" customHeight="1">
      <c r="A62" s="3" t="inlineStr">
        <is>
          <t>25/06/2026</t>
        </is>
      </c>
      <c r="B62" s="4" t="inlineStr">
        <is>
          <t>D</t>
        </is>
      </c>
      <c r="C62" s="3" t="inlineStr">
        <is>
          <t>Paraguai</t>
        </is>
      </c>
      <c r="D62" s="4">
        <f>IMAGE("https://flagcdn.com/w80/py.png")</f>
        <v/>
      </c>
      <c r="E62" s="4" t="inlineStr"/>
      <c r="F62" s="4" t="inlineStr"/>
      <c r="G62" s="4" t="inlineStr"/>
      <c r="H62" s="4" t="inlineStr"/>
      <c r="I62" s="4">
        <f>IMAGE("https://flagcdn.com/w80/au.png")</f>
        <v/>
      </c>
      <c r="J62" s="3" t="inlineStr">
        <is>
          <t>Austrália</t>
        </is>
      </c>
    </row>
    <row r="63" ht="30" customHeight="1">
      <c r="A63" s="5" t="inlineStr">
        <is>
          <t>26/06/2026</t>
        </is>
      </c>
      <c r="B63" s="6" t="inlineStr">
        <is>
          <t>I</t>
        </is>
      </c>
      <c r="C63" s="5" t="inlineStr">
        <is>
          <t>Noruega</t>
        </is>
      </c>
      <c r="D63" s="6">
        <f>IMAGE("https://flagcdn.com/w80/no.png")</f>
        <v/>
      </c>
      <c r="E63" s="6" t="inlineStr"/>
      <c r="F63" s="6" t="inlineStr"/>
      <c r="G63" s="6" t="inlineStr"/>
      <c r="H63" s="6" t="inlineStr"/>
      <c r="I63" s="6">
        <f>IMAGE("https://flagcdn.com/w80/fr.png")</f>
        <v/>
      </c>
      <c r="J63" s="5" t="inlineStr">
        <is>
          <t>França</t>
        </is>
      </c>
    </row>
    <row r="64" ht="30" customHeight="1">
      <c r="A64" s="5" t="inlineStr">
        <is>
          <t>26/06/2026</t>
        </is>
      </c>
      <c r="B64" s="6" t="inlineStr">
        <is>
          <t>I</t>
        </is>
      </c>
      <c r="C64" s="5" t="inlineStr">
        <is>
          <t>Senegal</t>
        </is>
      </c>
      <c r="D64" s="6">
        <f>IMAGE("https://flagcdn.com/w80/sn.png")</f>
        <v/>
      </c>
      <c r="E64" s="6" t="inlineStr"/>
      <c r="F64" s="6" t="inlineStr"/>
      <c r="G64" s="6" t="inlineStr"/>
      <c r="H64" s="6" t="inlineStr"/>
      <c r="I64" s="6">
        <f>IMAGE("https://flagcdn.com/w80/iq.png")</f>
        <v/>
      </c>
      <c r="J64" s="5" t="inlineStr">
        <is>
          <t>Iraque</t>
        </is>
      </c>
    </row>
    <row r="65" ht="30" customHeight="1">
      <c r="A65" s="5" t="inlineStr">
        <is>
          <t>26/06/2026</t>
        </is>
      </c>
      <c r="B65" s="6" t="inlineStr">
        <is>
          <t>H</t>
        </is>
      </c>
      <c r="C65" s="5" t="inlineStr">
        <is>
          <t>Cabo Verde</t>
        </is>
      </c>
      <c r="D65" s="6">
        <f>IMAGE("https://flagcdn.com/w80/cv.png")</f>
        <v/>
      </c>
      <c r="E65" s="6" t="inlineStr"/>
      <c r="F65" s="6" t="inlineStr"/>
      <c r="G65" s="6" t="inlineStr"/>
      <c r="H65" s="6" t="inlineStr"/>
      <c r="I65" s="6">
        <f>IMAGE("https://flagcdn.com/w80/sa.png")</f>
        <v/>
      </c>
      <c r="J65" s="5" t="inlineStr">
        <is>
          <t>Arábia Saudita</t>
        </is>
      </c>
    </row>
    <row r="66" ht="30" customHeight="1">
      <c r="A66" s="5" t="inlineStr">
        <is>
          <t>26/06/2026</t>
        </is>
      </c>
      <c r="B66" s="6" t="inlineStr">
        <is>
          <t>H</t>
        </is>
      </c>
      <c r="C66" s="5" t="inlineStr">
        <is>
          <t>Uruguai</t>
        </is>
      </c>
      <c r="D66" s="6">
        <f>IMAGE("https://flagcdn.com/w80/uy.png")</f>
        <v/>
      </c>
      <c r="E66" s="6" t="inlineStr"/>
      <c r="F66" s="6" t="inlineStr"/>
      <c r="G66" s="6" t="inlineStr"/>
      <c r="H66" s="6" t="inlineStr"/>
      <c r="I66" s="6">
        <f>IMAGE("https://flagcdn.com/w80/es.png")</f>
        <v/>
      </c>
      <c r="J66" s="5" t="inlineStr">
        <is>
          <t>Espanha</t>
        </is>
      </c>
    </row>
    <row r="67" ht="30" customHeight="1">
      <c r="A67" s="5" t="inlineStr">
        <is>
          <t>26/06/2026</t>
        </is>
      </c>
      <c r="B67" s="6" t="inlineStr">
        <is>
          <t>G</t>
        </is>
      </c>
      <c r="C67" s="5" t="inlineStr">
        <is>
          <t>Egito</t>
        </is>
      </c>
      <c r="D67" s="6">
        <f>IMAGE("https://flagcdn.com/w80/eg.png")</f>
        <v/>
      </c>
      <c r="E67" s="6" t="inlineStr"/>
      <c r="F67" s="6" t="inlineStr"/>
      <c r="G67" s="6" t="inlineStr"/>
      <c r="H67" s="6" t="inlineStr"/>
      <c r="I67" s="6">
        <f>IMAGE("https://flagcdn.com/w80/ir.png")</f>
        <v/>
      </c>
      <c r="J67" s="5" t="inlineStr">
        <is>
          <t>Irã</t>
        </is>
      </c>
    </row>
    <row r="68" ht="30" customHeight="1">
      <c r="A68" s="5" t="inlineStr">
        <is>
          <t>26/06/2026</t>
        </is>
      </c>
      <c r="B68" s="6" t="inlineStr">
        <is>
          <t>G</t>
        </is>
      </c>
      <c r="C68" s="5" t="inlineStr">
        <is>
          <t>Nova Zelândia</t>
        </is>
      </c>
      <c r="D68" s="6">
        <f>IMAGE("https://flagcdn.com/w80/nz.png")</f>
        <v/>
      </c>
      <c r="E68" s="6" t="inlineStr"/>
      <c r="F68" s="6" t="inlineStr"/>
      <c r="G68" s="6" t="inlineStr"/>
      <c r="H68" s="6" t="inlineStr"/>
      <c r="I68" s="6">
        <f>IMAGE("https://flagcdn.com/w80/be.png")</f>
        <v/>
      </c>
      <c r="J68" s="5" t="inlineStr">
        <is>
          <t>Bélgica</t>
        </is>
      </c>
    </row>
    <row r="69" ht="30" customHeight="1">
      <c r="A69" s="3" t="inlineStr">
        <is>
          <t>27/06/2026</t>
        </is>
      </c>
      <c r="B69" s="4" t="inlineStr">
        <is>
          <t>L</t>
        </is>
      </c>
      <c r="C69" s="3" t="inlineStr">
        <is>
          <t>Panamá</t>
        </is>
      </c>
      <c r="D69" s="4">
        <f>IMAGE("https://flagcdn.com/w80/pa.png")</f>
        <v/>
      </c>
      <c r="E69" s="4" t="inlineStr"/>
      <c r="F69" s="4" t="inlineStr"/>
      <c r="G69" s="4" t="inlineStr"/>
      <c r="H69" s="4" t="inlineStr"/>
      <c r="I69" s="4">
        <f>IMAGE("https://flagcdn.com/w80/gb-eng.png")</f>
        <v/>
      </c>
      <c r="J69" s="3" t="inlineStr">
        <is>
          <t>Inglaterra</t>
        </is>
      </c>
    </row>
    <row r="70" ht="30" customHeight="1">
      <c r="A70" s="3" t="inlineStr">
        <is>
          <t>27/06/2026</t>
        </is>
      </c>
      <c r="B70" s="4" t="inlineStr">
        <is>
          <t>L</t>
        </is>
      </c>
      <c r="C70" s="3" t="inlineStr">
        <is>
          <t>Croácia</t>
        </is>
      </c>
      <c r="D70" s="4">
        <f>IMAGE("https://flagcdn.com/w80/hr.png")</f>
        <v/>
      </c>
      <c r="E70" s="4" t="inlineStr"/>
      <c r="F70" s="4" t="inlineStr"/>
      <c r="G70" s="4" t="inlineStr"/>
      <c r="H70" s="4" t="inlineStr"/>
      <c r="I70" s="4">
        <f>IMAGE("https://flagcdn.com/w80/gh.png")</f>
        <v/>
      </c>
      <c r="J70" s="3" t="inlineStr">
        <is>
          <t>Gana</t>
        </is>
      </c>
    </row>
    <row r="71" ht="30" customHeight="1">
      <c r="A71" s="3" t="inlineStr">
        <is>
          <t>27/06/2026</t>
        </is>
      </c>
      <c r="B71" s="4" t="inlineStr">
        <is>
          <t>K</t>
        </is>
      </c>
      <c r="C71" s="3" t="inlineStr">
        <is>
          <t>Colômbia</t>
        </is>
      </c>
      <c r="D71" s="4">
        <f>IMAGE("https://flagcdn.com/w80/co.png")</f>
        <v/>
      </c>
      <c r="E71" s="4" t="inlineStr"/>
      <c r="F71" s="4" t="inlineStr"/>
      <c r="G71" s="4" t="inlineStr"/>
      <c r="H71" s="4" t="inlineStr"/>
      <c r="I71" s="4">
        <f>IMAGE("https://flagcdn.com/w80/pt.png")</f>
        <v/>
      </c>
      <c r="J71" s="3" t="inlineStr">
        <is>
          <t>Portugal</t>
        </is>
      </c>
    </row>
    <row r="72" ht="30" customHeight="1">
      <c r="A72" s="3" t="inlineStr">
        <is>
          <t>27/06/2026</t>
        </is>
      </c>
      <c r="B72" s="4" t="inlineStr">
        <is>
          <t>K</t>
        </is>
      </c>
      <c r="C72" s="3" t="inlineStr">
        <is>
          <t>RD Congo</t>
        </is>
      </c>
      <c r="D72" s="4">
        <f>IMAGE("https://flagcdn.com/w80/cd.png")</f>
        <v/>
      </c>
      <c r="E72" s="4" t="inlineStr"/>
      <c r="F72" s="4" t="inlineStr"/>
      <c r="G72" s="4" t="inlineStr"/>
      <c r="H72" s="4" t="inlineStr"/>
      <c r="I72" s="4">
        <f>IMAGE("https://flagcdn.com/w80/uz.png")</f>
        <v/>
      </c>
      <c r="J72" s="3" t="inlineStr">
        <is>
          <t>Uzbequistão</t>
        </is>
      </c>
    </row>
    <row r="73" ht="30" customHeight="1">
      <c r="A73" s="3" t="inlineStr">
        <is>
          <t>27/06/2026</t>
        </is>
      </c>
      <c r="B73" s="4" t="inlineStr">
        <is>
          <t>J</t>
        </is>
      </c>
      <c r="C73" s="3" t="inlineStr">
        <is>
          <t>Argélia</t>
        </is>
      </c>
      <c r="D73" s="4">
        <f>IMAGE("https://flagcdn.com/w80/dz.png")</f>
        <v/>
      </c>
      <c r="E73" s="4" t="inlineStr"/>
      <c r="F73" s="4" t="inlineStr"/>
      <c r="G73" s="4" t="inlineStr"/>
      <c r="H73" s="4" t="inlineStr"/>
      <c r="I73" s="4">
        <f>IMAGE("https://flagcdn.com/w80/at.png")</f>
        <v/>
      </c>
      <c r="J73" s="3" t="inlineStr">
        <is>
          <t>Áustria</t>
        </is>
      </c>
    </row>
    <row r="74" ht="30" customHeight="1">
      <c r="A74" s="3" t="inlineStr">
        <is>
          <t>27/06/2026</t>
        </is>
      </c>
      <c r="B74" s="4" t="inlineStr">
        <is>
          <t>J</t>
        </is>
      </c>
      <c r="C74" s="3" t="inlineStr">
        <is>
          <t>Jordânia</t>
        </is>
      </c>
      <c r="D74" s="4">
        <f>IMAGE("https://flagcdn.com/w80/jo.png")</f>
        <v/>
      </c>
      <c r="E74" s="4" t="inlineStr"/>
      <c r="F74" s="4" t="inlineStr"/>
      <c r="G74" s="4" t="inlineStr"/>
      <c r="H74" s="4" t="inlineStr"/>
      <c r="I74" s="4">
        <f>IMAGE("https://flagcdn.com/w80/ar.png")</f>
        <v/>
      </c>
      <c r="J74" s="3" t="inlineStr">
        <is>
          <t>Argentina</t>
        </is>
      </c>
    </row>
  </sheetData>
  <autoFilter ref="A2:J2"/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2026-06-08T16:07:12Z</dcterms:created>
  <dcterms:modified xsi:type="dcterms:W3CDTF">2026-06-08T16:07:12Z</dcterms:modified>
</cp:coreProperties>
</file>